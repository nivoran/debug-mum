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2"/>
  </bookViews>
  <sheets>
    <sheet name="PHP" sheetId="1" r:id="rId1"/>
    <sheet name="DTS1 - 2025" sheetId="2" r:id="rId2"/>
    <sheet name="DTS2 - 2026" sheetId="3" r:id="rId3"/>
    <sheet name="DTS1-2026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<sst xmlns="http://schemas.openxmlformats.org/spreadsheetml/2006/main" count="260" uniqueCount="158">
  <si>
    <t>DTS2</t>
  </si>
  <si>
    <t>Nom</t>
  </si>
  <si>
    <t>Prénoms</t>
  </si>
  <si>
    <t>Fondamentaux</t>
  </si>
  <si>
    <t>Web (Hotel)</t>
  </si>
  <si>
    <t>PDO (Biblio)</t>
  </si>
  <si>
    <t>POO (Voiture)</t>
  </si>
  <si>
    <t>Moyenne</t>
  </si>
  <si>
    <t>EXAMEN (réservation)</t>
  </si>
  <si>
    <t>MAX</t>
  </si>
  <si>
    <t>DTS-391</t>
  </si>
  <si>
    <t>ANDRIAMAHERY</t>
  </si>
  <si>
    <t>Jeddy Navalona</t>
  </si>
  <si>
    <t>DTS-416</t>
  </si>
  <si>
    <t>RAJAONARY</t>
  </si>
  <si>
    <t>Lionel Carly</t>
  </si>
  <si>
    <t>DTS-327</t>
  </si>
  <si>
    <t>NOMENJANAHARY</t>
  </si>
  <si>
    <t>Metuschelah Tsiory</t>
  </si>
  <si>
    <t>DTS-408</t>
  </si>
  <si>
    <t>RAKOTOMALALA ANJARAMAHEFA</t>
  </si>
  <si>
    <t>Adrian</t>
  </si>
  <si>
    <t>DTS-433</t>
  </si>
  <si>
    <t>SAN</t>
  </si>
  <si>
    <t>Anicha Miarisoa</t>
  </si>
  <si>
    <t>DTS-330</t>
  </si>
  <si>
    <t>RINDRANIAINA</t>
  </si>
  <si>
    <t>Miantsa</t>
  </si>
  <si>
    <t>DTS-377</t>
  </si>
  <si>
    <t>ANDRIAMAOLIARISOA</t>
  </si>
  <si>
    <t>Ando Steve</t>
  </si>
  <si>
    <t>DTS-376</t>
  </si>
  <si>
    <t>RAMANITRINIAINA</t>
  </si>
  <si>
    <t>Ivotia</t>
  </si>
  <si>
    <t>DTS-252</t>
  </si>
  <si>
    <t>RAHARIMAHEFA</t>
  </si>
  <si>
    <t>Fitiana</t>
  </si>
  <si>
    <t>DTS-334</t>
  </si>
  <si>
    <t>RAFANOMEZANTSOA</t>
  </si>
  <si>
    <t>Fanamby Tiantsoa</t>
  </si>
  <si>
    <t>DTS-363</t>
  </si>
  <si>
    <t>RATSARAVONIMANITRA</t>
  </si>
  <si>
    <t>Heriniaina Liliane</t>
  </si>
  <si>
    <t>DTS-389</t>
  </si>
  <si>
    <t>MBOLAHARINISA</t>
  </si>
  <si>
    <t>Hasina</t>
  </si>
  <si>
    <t>DTS-338</t>
  </si>
  <si>
    <t>RAJAONARIVELO</t>
  </si>
  <si>
    <t>Jocia</t>
  </si>
  <si>
    <t>DTS-410</t>
  </si>
  <si>
    <t xml:space="preserve">RAMANANARIVO </t>
  </si>
  <si>
    <t>Minosoa Sylvain</t>
  </si>
  <si>
    <t>DTS-018</t>
  </si>
  <si>
    <t>ANDRIAMIARANTSOA</t>
  </si>
  <si>
    <t>Jonathan Abel</t>
  </si>
  <si>
    <t>DTS-022</t>
  </si>
  <si>
    <t>Fanantenana</t>
  </si>
  <si>
    <t>DTS-007</t>
  </si>
  <si>
    <t>Fandresena Danny</t>
  </si>
  <si>
    <t>DTS-008</t>
  </si>
  <si>
    <t>FANOMEZANTSOA</t>
  </si>
  <si>
    <t>Maminirina Selarico</t>
  </si>
  <si>
    <t>Initiation</t>
  </si>
  <si>
    <t>Algorithmes</t>
  </si>
  <si>
    <t>Langage C (M. Solo)</t>
  </si>
  <si>
    <t>SE (M. Sotera)</t>
  </si>
  <si>
    <t>Réseaux  (M. Saloma)</t>
  </si>
  <si>
    <t>SGBD</t>
  </si>
  <si>
    <t>Python (Avotra)</t>
  </si>
  <si>
    <t>Python (Miadana)</t>
  </si>
  <si>
    <t>Français (Mme Rojo)</t>
  </si>
  <si>
    <t>Anglais (M. Jean Jacques)</t>
  </si>
  <si>
    <t>RAZAFINDRAKOTO MBOLAHARINISA</t>
  </si>
  <si>
    <t>DTS-328</t>
  </si>
  <si>
    <t>Tendry</t>
  </si>
  <si>
    <t>uuj</t>
  </si>
  <si>
    <t>Frontend</t>
  </si>
  <si>
    <t>Java</t>
  </si>
  <si>
    <t>Arduino</t>
  </si>
  <si>
    <t>Réseaux routage</t>
  </si>
  <si>
    <t>PHP</t>
  </si>
  <si>
    <t>UML</t>
  </si>
  <si>
    <t>Projet</t>
  </si>
  <si>
    <t>absent</t>
  </si>
  <si>
    <t>invalidé</t>
  </si>
  <si>
    <t>en attente</t>
  </si>
  <si>
    <t>absente</t>
  </si>
  <si>
    <t>DTS1</t>
  </si>
  <si>
    <t>Prénom</t>
  </si>
  <si>
    <t>Algo</t>
  </si>
  <si>
    <t>SE</t>
  </si>
  <si>
    <t>Maintenance</t>
  </si>
  <si>
    <t>HTML/CSS/JS</t>
  </si>
  <si>
    <t>Réseaux</t>
  </si>
  <si>
    <t>Python</t>
  </si>
  <si>
    <t>Français</t>
  </si>
  <si>
    <t>Anglais</t>
  </si>
  <si>
    <t>DTS-001</t>
  </si>
  <si>
    <t>RAKOTOMALALA</t>
  </si>
  <si>
    <t>Martino</t>
  </si>
  <si>
    <t>DTS-002</t>
  </si>
  <si>
    <t>ANDRIANARIVO</t>
  </si>
  <si>
    <t>Nirina Mialintsoa</t>
  </si>
  <si>
    <t>DTS-003</t>
  </si>
  <si>
    <t>ANDRIANOMENTSOA</t>
  </si>
  <si>
    <t>Maheriniaina Mickaia</t>
  </si>
  <si>
    <t>DTS-004</t>
  </si>
  <si>
    <t>RAMAMONJISOA</t>
  </si>
  <si>
    <t>Avotra</t>
  </si>
  <si>
    <t>8 ex</t>
  </si>
  <si>
    <t>DTS-005</t>
  </si>
  <si>
    <t>RAKOTORAHALAHY</t>
  </si>
  <si>
    <t>Ranto Safidiniaina Marius Aldo</t>
  </si>
  <si>
    <t>DTS-006</t>
  </si>
  <si>
    <t xml:space="preserve">RAFANOMEZANTSOA </t>
  </si>
  <si>
    <t>Rantoniaina</t>
  </si>
  <si>
    <t>DTS-009</t>
  </si>
  <si>
    <t>TOMPOINA FY</t>
  </si>
  <si>
    <t>Armanda Ny Antenaiko</t>
  </si>
  <si>
    <t>DTS-010</t>
  </si>
  <si>
    <t>ARIJAONA</t>
  </si>
  <si>
    <t>Fenomanantsoa Dylan</t>
  </si>
  <si>
    <t>DTS-011</t>
  </si>
  <si>
    <t>MAMIHARISON</t>
  </si>
  <si>
    <t>Ismaël Olive</t>
  </si>
  <si>
    <t>DTS-012</t>
  </si>
  <si>
    <t>ANDRIAMANJAKA</t>
  </si>
  <si>
    <t>Narovantsoa Adriano</t>
  </si>
  <si>
    <t>DTS-013</t>
  </si>
  <si>
    <t>RANDRIAMANDIMBY</t>
  </si>
  <si>
    <t>Andrianantenaina Mickaelo</t>
  </si>
  <si>
    <t>DTS-015</t>
  </si>
  <si>
    <t>TOJONIAINA</t>
  </si>
  <si>
    <t>Francky</t>
  </si>
  <si>
    <t>DTS-016</t>
  </si>
  <si>
    <t>RABENARIVO</t>
  </si>
  <si>
    <t>Alina Anjalalaina</t>
  </si>
  <si>
    <t>DTS-017</t>
  </si>
  <si>
    <t>RAKOTONDRANAIVO</t>
  </si>
  <si>
    <t>Mihajaniaina Jerry</t>
  </si>
  <si>
    <t>DTS-019</t>
  </si>
  <si>
    <t>RAVELOMANANTSOA</t>
  </si>
  <si>
    <t>Feno Hasina</t>
  </si>
  <si>
    <t>DTS-020</t>
  </si>
  <si>
    <t>RAFIDIMANANTSOA</t>
  </si>
  <si>
    <t>Tsiory Fenohasina</t>
  </si>
  <si>
    <t>DTS-021</t>
  </si>
  <si>
    <t>SARINDRANIAINA</t>
  </si>
  <si>
    <t>Estelle</t>
  </si>
  <si>
    <t>DTS-023</t>
  </si>
  <si>
    <t>RAKOTOMAMONJY</t>
  </si>
  <si>
    <t>Dally Mickaël</t>
  </si>
  <si>
    <t>DTS-024</t>
  </si>
  <si>
    <t>SAFIDIARIJAONA</t>
  </si>
  <si>
    <t>Mamy Lalaina</t>
  </si>
  <si>
    <t>DTS-025</t>
  </si>
  <si>
    <t>RAKOTONIRINA</t>
  </si>
  <si>
    <t>Miharivola Liantsoa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</si>
</sst>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#,##0.00_ "/>
    <numFmt numFmtId="179" formatCode="0.00_ "/>
  </numFmts>
  <fonts count="3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2" tint="-0.5"/>
      <name val="Calibri"/>
      <charset val="134"/>
      <scheme val="minor"/>
    </font>
    <font>
      <strike/>
      <sz val="11"/>
      <color theme="1"/>
      <name val="Calibri"/>
      <charset val="134"/>
      <scheme val="minor"/>
    </font>
    <font>
      <b/>
      <strike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trike/>
      <sz val="11"/>
      <color theme="1" tint="0.35"/>
      <name val="Calibri"/>
      <charset val="134"/>
      <scheme val="minor"/>
    </font>
    <font>
      <sz val="11"/>
      <name val="Calibri"/>
      <charset val="134"/>
      <scheme val="minor"/>
    </font>
    <font>
      <sz val="11"/>
      <color rgb="FF7030A0"/>
      <name val="Calibri"/>
      <charset val="134"/>
      <scheme val="minor"/>
    </font>
    <font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8" borderId="4" applyNumberFormat="0" applyAlignment="0" applyProtection="0">
      <alignment vertical="center"/>
    </xf>
    <xf numFmtId="0" fontId="22" fillId="9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0" fillId="0" borderId="0" xfId="0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178" fontId="3" fillId="0" borderId="0" xfId="0" applyNumberFormat="1" applyFont="1" applyFill="1" applyAlignment="1"/>
    <xf numFmtId="0" fontId="0" fillId="2" borderId="0" xfId="0" applyFill="1" applyAlignment="1"/>
    <xf numFmtId="0" fontId="5" fillId="2" borderId="0" xfId="0" applyFont="1" applyFill="1" applyAlignment="1"/>
    <xf numFmtId="178" fontId="0" fillId="2" borderId="0" xfId="0" applyNumberFormat="1" applyFill="1" applyAlignment="1"/>
    <xf numFmtId="0" fontId="0" fillId="3" borderId="0" xfId="0" applyFill="1" applyAlignment="1"/>
    <xf numFmtId="0" fontId="6" fillId="4" borderId="0" xfId="0" applyFont="1" applyFill="1" applyAlignment="1"/>
    <xf numFmtId="178" fontId="0" fillId="0" borderId="0" xfId="0" applyNumberFormat="1" applyFill="1" applyAlignment="1"/>
    <xf numFmtId="0" fontId="6" fillId="0" borderId="0" xfId="0" applyFont="1" applyFill="1" applyAlignment="1"/>
    <xf numFmtId="0" fontId="5" fillId="0" borderId="0" xfId="0" applyFont="1" applyFill="1" applyAlignment="1"/>
    <xf numFmtId="0" fontId="0" fillId="0" borderId="0" xfId="0" applyFill="1" applyAlignment="1">
      <alignment horizontal="right"/>
    </xf>
    <xf numFmtId="0" fontId="3" fillId="0" borderId="0" xfId="0" applyFont="1" applyFill="1" applyAlignment="1">
      <alignment horizontal="right"/>
    </xf>
    <xf numFmtId="3" fontId="0" fillId="0" borderId="0" xfId="0" applyNumberFormat="1" applyFill="1" applyAlignment="1"/>
    <xf numFmtId="49" fontId="0" fillId="0" borderId="0" xfId="0" applyNumberFormat="1" applyFill="1" applyAlignment="1"/>
    <xf numFmtId="0" fontId="0" fillId="5" borderId="0" xfId="0" applyFill="1" applyAlignment="1"/>
    <xf numFmtId="178" fontId="0" fillId="5" borderId="0" xfId="0" applyNumberFormat="1" applyFill="1" applyAlignment="1"/>
    <xf numFmtId="0" fontId="7" fillId="0" borderId="0" xfId="0" applyFont="1" applyFill="1" applyAlignment="1"/>
    <xf numFmtId="178" fontId="5" fillId="5" borderId="0" xfId="0" applyNumberFormat="1" applyFont="1" applyFill="1" applyAlignment="1"/>
    <xf numFmtId="0" fontId="1" fillId="0" borderId="0" xfId="0" applyFont="1">
      <alignment vertical="center"/>
    </xf>
    <xf numFmtId="0" fontId="8" fillId="0" borderId="0" xfId="0" applyFont="1" applyFill="1" applyAlignment="1"/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8" fillId="5" borderId="0" xfId="0" applyFont="1" applyFill="1" applyAlignment="1">
      <alignment horizontal="right" vertical="center"/>
    </xf>
    <xf numFmtId="0" fontId="0" fillId="0" borderId="0" xfId="0" applyFill="1" applyAlignment="1">
      <alignment vertical="center"/>
    </xf>
    <xf numFmtId="179" fontId="5" fillId="0" borderId="0" xfId="0" applyNumberFormat="1" applyFont="1" applyFill="1" applyAlignment="1">
      <alignment vertical="center"/>
    </xf>
    <xf numFmtId="43" fontId="0" fillId="0" borderId="0" xfId="1">
      <alignment vertical="center"/>
    </xf>
    <xf numFmtId="0" fontId="8" fillId="0" borderId="0" xfId="0" applyFont="1" applyFill="1" applyAlignment="1">
      <alignment vertical="center"/>
    </xf>
    <xf numFmtId="43" fontId="9" fillId="0" borderId="0" xfId="1" applyFont="1">
      <alignment vertical="center"/>
    </xf>
    <xf numFmtId="0" fontId="10" fillId="0" borderId="0" xfId="0" applyFont="1" applyFill="1" applyAlignme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selection activeCell="A15" sqref="$A15:$XFD15"/>
    </sheetView>
  </sheetViews>
  <sheetFormatPr defaultColWidth="9.14285714285714" defaultRowHeight="15"/>
  <cols>
    <col min="2" max="2" width="31" customWidth="1"/>
    <col min="3" max="3" width="19.2857142857143" customWidth="1"/>
    <col min="4" max="4" width="13.5714285714286" customWidth="1"/>
    <col min="5" max="6" width="16.7142857142857" customWidth="1"/>
    <col min="7" max="7" width="17.7142857142857" customWidth="1"/>
    <col min="9" max="9" width="22" customWidth="1"/>
    <col min="10" max="10" width="9.42857142857143" customWidth="1"/>
  </cols>
  <sheetData>
    <row r="1" spans="1:10">
      <c r="A1" s="1" t="s">
        <v>0</v>
      </c>
      <c r="B1" s="1" t="s">
        <v>1</v>
      </c>
      <c r="C1" s="1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7" t="s">
        <v>7</v>
      </c>
      <c r="I1" s="26" t="s">
        <v>8</v>
      </c>
      <c r="J1" s="28" t="s">
        <v>9</v>
      </c>
    </row>
    <row r="3" spans="1:10">
      <c r="A3" s="4" t="s">
        <v>10</v>
      </c>
      <c r="B3" s="4" t="s">
        <v>11</v>
      </c>
      <c r="C3" s="4" t="s">
        <v>12</v>
      </c>
      <c r="D3" s="29">
        <v>20</v>
      </c>
      <c r="E3" s="29">
        <v>16</v>
      </c>
      <c r="F3" s="29">
        <v>10.5</v>
      </c>
      <c r="G3" s="29">
        <v>17</v>
      </c>
      <c r="H3" s="30">
        <f t="shared" ref="H3:H7" si="0">(D3+E3+F3+G3)/4</f>
        <v>15.875</v>
      </c>
      <c r="I3" s="29">
        <v>12.5</v>
      </c>
      <c r="J3" s="31">
        <f>MAX(H3:I3)</f>
        <v>15.875</v>
      </c>
    </row>
    <row r="4" spans="1:10">
      <c r="A4" s="4" t="s">
        <v>13</v>
      </c>
      <c r="B4" s="4" t="s">
        <v>14</v>
      </c>
      <c r="C4" s="18" t="s">
        <v>15</v>
      </c>
      <c r="D4" s="32">
        <v>20</v>
      </c>
      <c r="E4" s="32">
        <v>16</v>
      </c>
      <c r="F4" s="32">
        <v>14</v>
      </c>
      <c r="G4" s="29">
        <v>15</v>
      </c>
      <c r="H4" s="30">
        <f t="shared" si="0"/>
        <v>16.25</v>
      </c>
      <c r="I4" s="29">
        <v>18</v>
      </c>
      <c r="J4" s="31">
        <f t="shared" ref="J4:J17" si="1">MAX(H4:I4)</f>
        <v>18</v>
      </c>
    </row>
    <row r="5" spans="1:10">
      <c r="A5" s="4" t="s">
        <v>16</v>
      </c>
      <c r="B5" s="4" t="s">
        <v>17</v>
      </c>
      <c r="C5" s="25" t="s">
        <v>18</v>
      </c>
      <c r="D5" s="29">
        <v>15</v>
      </c>
      <c r="E5" s="29">
        <v>12</v>
      </c>
      <c r="F5" s="29">
        <v>12.5</v>
      </c>
      <c r="G5" s="29">
        <v>18</v>
      </c>
      <c r="H5" s="30">
        <f t="shared" si="0"/>
        <v>14.375</v>
      </c>
      <c r="I5" s="29">
        <v>20</v>
      </c>
      <c r="J5" s="31">
        <f t="shared" si="1"/>
        <v>20</v>
      </c>
    </row>
    <row r="6" spans="1:10">
      <c r="A6" s="4" t="s">
        <v>19</v>
      </c>
      <c r="B6" s="4" t="s">
        <v>20</v>
      </c>
      <c r="C6" s="4" t="s">
        <v>21</v>
      </c>
      <c r="D6" s="29">
        <v>0</v>
      </c>
      <c r="E6" s="29">
        <v>15</v>
      </c>
      <c r="F6" s="29">
        <v>0</v>
      </c>
      <c r="G6" s="29">
        <v>17</v>
      </c>
      <c r="H6" s="30">
        <f t="shared" si="0"/>
        <v>8</v>
      </c>
      <c r="I6" s="29">
        <v>5</v>
      </c>
      <c r="J6" s="33">
        <f t="shared" si="1"/>
        <v>8</v>
      </c>
    </row>
    <row r="7" spans="1:10">
      <c r="A7" s="4" t="s">
        <v>22</v>
      </c>
      <c r="B7" s="4" t="s">
        <v>23</v>
      </c>
      <c r="C7" s="4" t="s">
        <v>24</v>
      </c>
      <c r="D7" s="29">
        <v>0</v>
      </c>
      <c r="E7" s="29">
        <v>0</v>
      </c>
      <c r="F7" s="29">
        <v>0</v>
      </c>
      <c r="G7" s="29">
        <v>0</v>
      </c>
      <c r="H7" s="30">
        <f t="shared" si="0"/>
        <v>0</v>
      </c>
      <c r="I7" s="29">
        <v>19.75</v>
      </c>
      <c r="J7" s="31">
        <f t="shared" si="1"/>
        <v>19.75</v>
      </c>
    </row>
    <row r="8" spans="1:10">
      <c r="A8" s="4" t="s">
        <v>25</v>
      </c>
      <c r="B8" s="4" t="s">
        <v>26</v>
      </c>
      <c r="C8" s="4" t="s">
        <v>27</v>
      </c>
      <c r="D8" s="29">
        <v>0</v>
      </c>
      <c r="E8" s="29">
        <v>16</v>
      </c>
      <c r="F8" s="29">
        <v>12.5</v>
      </c>
      <c r="G8" s="29">
        <v>17</v>
      </c>
      <c r="H8" s="30">
        <f t="shared" ref="H8:H17" si="2">(D8+E8+F8+G8)/4</f>
        <v>11.375</v>
      </c>
      <c r="I8" s="29">
        <v>15.5</v>
      </c>
      <c r="J8" s="31">
        <f t="shared" si="1"/>
        <v>15.5</v>
      </c>
    </row>
    <row r="9" spans="1:10">
      <c r="A9" s="4" t="s">
        <v>28</v>
      </c>
      <c r="B9" s="4" t="s">
        <v>29</v>
      </c>
      <c r="C9" s="4" t="s">
        <v>30</v>
      </c>
      <c r="D9" s="29">
        <v>14</v>
      </c>
      <c r="E9" s="29">
        <v>0</v>
      </c>
      <c r="F9" s="29">
        <v>10.5</v>
      </c>
      <c r="G9" s="29">
        <v>0</v>
      </c>
      <c r="H9" s="30">
        <f t="shared" si="2"/>
        <v>6.125</v>
      </c>
      <c r="I9" s="29">
        <v>19.5</v>
      </c>
      <c r="J9" s="31">
        <f t="shared" si="1"/>
        <v>19.5</v>
      </c>
    </row>
    <row r="10" spans="1:10">
      <c r="A10" s="4" t="s">
        <v>31</v>
      </c>
      <c r="B10" s="4" t="s">
        <v>32</v>
      </c>
      <c r="C10" s="4" t="s">
        <v>33</v>
      </c>
      <c r="D10" s="32">
        <v>18</v>
      </c>
      <c r="E10" s="32">
        <v>16</v>
      </c>
      <c r="F10" s="32">
        <v>14</v>
      </c>
      <c r="G10" s="32">
        <v>15.5</v>
      </c>
      <c r="H10" s="30">
        <f t="shared" si="2"/>
        <v>15.875</v>
      </c>
      <c r="I10" s="32">
        <v>0</v>
      </c>
      <c r="J10" s="31">
        <f t="shared" si="1"/>
        <v>15.875</v>
      </c>
    </row>
    <row r="11" spans="1:10">
      <c r="A11" s="4" t="s">
        <v>34</v>
      </c>
      <c r="B11" s="4" t="s">
        <v>35</v>
      </c>
      <c r="C11" s="4" t="s">
        <v>36</v>
      </c>
      <c r="D11" s="29">
        <v>15</v>
      </c>
      <c r="E11" s="29">
        <v>12.5</v>
      </c>
      <c r="F11" s="29">
        <v>18</v>
      </c>
      <c r="G11" s="29">
        <v>16.5</v>
      </c>
      <c r="H11" s="30">
        <f t="shared" si="2"/>
        <v>15.5</v>
      </c>
      <c r="I11" s="29">
        <v>18</v>
      </c>
      <c r="J11" s="31">
        <f t="shared" si="1"/>
        <v>18</v>
      </c>
    </row>
    <row r="12" spans="1:10">
      <c r="A12" s="4" t="s">
        <v>37</v>
      </c>
      <c r="B12" s="4" t="s">
        <v>38</v>
      </c>
      <c r="C12" s="4" t="s">
        <v>39</v>
      </c>
      <c r="D12" s="29">
        <v>20</v>
      </c>
      <c r="E12" s="29">
        <v>15.5</v>
      </c>
      <c r="F12" s="29">
        <v>12.5</v>
      </c>
      <c r="G12" s="29">
        <v>16</v>
      </c>
      <c r="H12" s="30">
        <f t="shared" si="2"/>
        <v>16</v>
      </c>
      <c r="I12" s="29">
        <v>14</v>
      </c>
      <c r="J12" s="31">
        <f t="shared" si="1"/>
        <v>16</v>
      </c>
    </row>
    <row r="13" spans="1:10">
      <c r="A13" s="4" t="s">
        <v>40</v>
      </c>
      <c r="B13" s="4" t="s">
        <v>41</v>
      </c>
      <c r="C13" s="4" t="s">
        <v>42</v>
      </c>
      <c r="D13" s="32">
        <v>20</v>
      </c>
      <c r="E13" s="29">
        <v>16</v>
      </c>
      <c r="F13" s="29">
        <v>14</v>
      </c>
      <c r="G13" s="29">
        <v>15</v>
      </c>
      <c r="H13" s="30">
        <f t="shared" si="2"/>
        <v>16.25</v>
      </c>
      <c r="I13" s="29">
        <v>18</v>
      </c>
      <c r="J13" s="31">
        <f t="shared" si="1"/>
        <v>18</v>
      </c>
    </row>
    <row r="14" spans="1:10">
      <c r="A14" s="4" t="s">
        <v>43</v>
      </c>
      <c r="B14" s="4" t="s">
        <v>44</v>
      </c>
      <c r="C14" s="4" t="s">
        <v>45</v>
      </c>
      <c r="D14" s="29">
        <v>0</v>
      </c>
      <c r="E14" s="29">
        <v>0</v>
      </c>
      <c r="F14" s="29">
        <v>10.5</v>
      </c>
      <c r="G14" s="29">
        <v>16.5</v>
      </c>
      <c r="H14" s="30">
        <f t="shared" si="2"/>
        <v>6.75</v>
      </c>
      <c r="I14" s="29">
        <v>17.5</v>
      </c>
      <c r="J14" s="31">
        <f t="shared" si="1"/>
        <v>17.5</v>
      </c>
    </row>
    <row r="15" spans="1:10">
      <c r="A15" s="4" t="s">
        <v>46</v>
      </c>
      <c r="B15" s="4" t="s">
        <v>47</v>
      </c>
      <c r="C15" s="4" t="s">
        <v>48</v>
      </c>
      <c r="D15" s="29">
        <v>16</v>
      </c>
      <c r="E15" s="29">
        <v>10</v>
      </c>
      <c r="F15" s="29">
        <v>8.5</v>
      </c>
      <c r="G15" s="29">
        <v>19</v>
      </c>
      <c r="H15" s="30">
        <f t="shared" si="2"/>
        <v>13.375</v>
      </c>
      <c r="I15" s="29">
        <v>7.5</v>
      </c>
      <c r="J15" s="31">
        <f t="shared" si="1"/>
        <v>13.375</v>
      </c>
    </row>
    <row r="16" spans="1:10">
      <c r="A16" s="4" t="s">
        <v>49</v>
      </c>
      <c r="B16" s="4" t="s">
        <v>50</v>
      </c>
      <c r="C16" s="4" t="s">
        <v>51</v>
      </c>
      <c r="D16" s="32">
        <v>20</v>
      </c>
      <c r="E16" s="32">
        <v>16.5</v>
      </c>
      <c r="F16" s="29">
        <v>13.5</v>
      </c>
      <c r="G16" s="29">
        <v>15.5</v>
      </c>
      <c r="H16" s="30">
        <f t="shared" si="2"/>
        <v>16.375</v>
      </c>
      <c r="I16" s="29">
        <v>18</v>
      </c>
      <c r="J16" s="31">
        <f t="shared" si="1"/>
        <v>18</v>
      </c>
    </row>
    <row r="17" spans="1:10">
      <c r="A17" s="25" t="s">
        <v>52</v>
      </c>
      <c r="B17" s="25" t="s">
        <v>53</v>
      </c>
      <c r="C17" s="25" t="s">
        <v>54</v>
      </c>
      <c r="D17" s="29">
        <v>0</v>
      </c>
      <c r="E17" s="29">
        <v>16.5</v>
      </c>
      <c r="F17" s="29">
        <v>13</v>
      </c>
      <c r="G17" s="29">
        <v>17</v>
      </c>
      <c r="H17" s="30">
        <f t="shared" si="2"/>
        <v>11.625</v>
      </c>
      <c r="I17" s="29">
        <v>18</v>
      </c>
      <c r="J17" s="31">
        <f t="shared" si="1"/>
        <v>18</v>
      </c>
    </row>
    <row r="19" spans="1:10">
      <c r="A19" s="34" t="s">
        <v>55</v>
      </c>
      <c r="B19" s="34"/>
      <c r="C19" s="34" t="s">
        <v>56</v>
      </c>
    </row>
    <row r="20" spans="1:10">
      <c r="A20" s="34" t="s">
        <v>57</v>
      </c>
      <c r="B20" s="34" t="s">
        <v>17</v>
      </c>
      <c r="C20" s="34" t="s">
        <v>58</v>
      </c>
    </row>
    <row r="21" spans="1:10">
      <c r="A21" s="34" t="s">
        <v>59</v>
      </c>
      <c r="B21" s="34" t="s">
        <v>60</v>
      </c>
      <c r="C21" s="34" t="s">
        <v>61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H13" sqref="H13"/>
    </sheetView>
  </sheetViews>
  <sheetFormatPr defaultColWidth="9.14285714285714" defaultRowHeight="15"/>
  <cols>
    <col min="2" max="2" width="35.4285714285714" customWidth="1"/>
    <col min="4" max="4" width="16.4285714285714" customWidth="1"/>
    <col min="5" max="5" width="12.7142857142857" customWidth="1"/>
    <col min="6" max="6" width="15.5714285714286" customWidth="1"/>
    <col min="7" max="7" width="21.5714285714286" customWidth="1"/>
    <col min="8" max="8" width="11.5714285714286" customWidth="1"/>
    <col min="9" max="9" width="17.4285714285714" customWidth="1"/>
    <col min="10" max="10" width="9.85714285714286" customWidth="1"/>
    <col min="11" max="11" width="18" customWidth="1"/>
    <col min="12" max="12" width="13.4285714285714" customWidth="1"/>
  </cols>
  <sheetData>
    <row r="1" spans="1:14">
      <c r="E1" s="24" t="s">
        <v>62</v>
      </c>
      <c r="F1" s="24" t="s">
        <v>63</v>
      </c>
      <c r="G1" s="24" t="s">
        <v>64</v>
      </c>
      <c r="H1" s="24" t="s">
        <v>65</v>
      </c>
      <c r="I1" s="24" t="s">
        <v>66</v>
      </c>
      <c r="J1" s="24" t="s">
        <v>67</v>
      </c>
      <c r="K1" s="24" t="s">
        <v>68</v>
      </c>
      <c r="L1" s="24" t="s">
        <v>69</v>
      </c>
      <c r="M1" s="24" t="s">
        <v>70</v>
      </c>
      <c r="N1" s="24" t="s">
        <v>71</v>
      </c>
    </row>
    <row r="2" spans="1:14">
      <c r="A2" s="4" t="s">
        <v>10</v>
      </c>
      <c r="B2" s="4" t="s">
        <v>11</v>
      </c>
      <c r="C2" s="4" t="s">
        <v>12</v>
      </c>
      <c r="D2" s="4"/>
      <c r="F2" s="4">
        <v>12</v>
      </c>
      <c r="G2" s="4"/>
      <c r="H2" s="4"/>
      <c r="I2" s="4"/>
      <c r="J2">
        <v>12</v>
      </c>
    </row>
    <row r="3" spans="1:14">
      <c r="A3" s="4" t="s">
        <v>13</v>
      </c>
      <c r="B3" s="4" t="s">
        <v>14</v>
      </c>
      <c r="C3" s="18" t="s">
        <v>15</v>
      </c>
      <c r="D3" s="4"/>
      <c r="F3" s="4">
        <v>12</v>
      </c>
      <c r="G3" s="4"/>
      <c r="H3" s="16"/>
      <c r="I3" s="4"/>
      <c r="J3" s="4">
        <v>15</v>
      </c>
    </row>
    <row r="4" spans="1:14">
      <c r="A4" s="4" t="s">
        <v>16</v>
      </c>
      <c r="B4" s="4" t="s">
        <v>17</v>
      </c>
      <c r="C4" s="25" t="s">
        <v>18</v>
      </c>
      <c r="D4" s="4"/>
      <c r="F4" s="4">
        <v>12</v>
      </c>
      <c r="G4" s="4"/>
      <c r="H4" s="4"/>
      <c r="I4" s="4"/>
      <c r="J4" s="4">
        <v>20</v>
      </c>
    </row>
    <row r="5" spans="1:14">
      <c r="A5" s="4" t="s">
        <v>19</v>
      </c>
      <c r="B5" s="4" t="s">
        <v>20</v>
      </c>
      <c r="C5" s="4" t="s">
        <v>21</v>
      </c>
      <c r="D5" s="4"/>
      <c r="F5" s="4">
        <v>13</v>
      </c>
      <c r="G5" s="4"/>
      <c r="H5" s="4"/>
      <c r="I5" s="4"/>
      <c r="J5" s="4">
        <v>18</v>
      </c>
    </row>
    <row r="6" spans="1:14">
      <c r="A6" s="4" t="s">
        <v>22</v>
      </c>
      <c r="B6" s="4" t="s">
        <v>23</v>
      </c>
      <c r="C6" s="4" t="s">
        <v>24</v>
      </c>
      <c r="D6" s="4"/>
      <c r="F6" s="4">
        <v>13</v>
      </c>
      <c r="G6" s="4"/>
      <c r="H6" s="4"/>
      <c r="I6" s="4"/>
      <c r="J6" s="4">
        <v>14</v>
      </c>
    </row>
    <row r="7" spans="1:14">
      <c r="A7" s="4" t="s">
        <v>25</v>
      </c>
      <c r="B7" s="4" t="s">
        <v>26</v>
      </c>
      <c r="C7" s="4" t="s">
        <v>27</v>
      </c>
      <c r="D7" s="4"/>
      <c r="F7" s="4">
        <v>13</v>
      </c>
      <c r="G7" s="4"/>
      <c r="H7" s="4"/>
      <c r="I7" s="4"/>
      <c r="J7" s="4">
        <v>14</v>
      </c>
    </row>
    <row r="8" spans="1:14">
      <c r="A8" s="4" t="s">
        <v>28</v>
      </c>
      <c r="B8" s="4" t="s">
        <v>29</v>
      </c>
      <c r="C8" s="4" t="s">
        <v>30</v>
      </c>
      <c r="D8" s="4"/>
      <c r="F8" s="4">
        <v>11</v>
      </c>
      <c r="G8" s="4"/>
      <c r="H8" s="16"/>
      <c r="I8" s="16"/>
      <c r="J8" s="4">
        <v>2</v>
      </c>
    </row>
    <row r="9" spans="1:14">
      <c r="A9" s="4" t="s">
        <v>31</v>
      </c>
      <c r="B9" s="4" t="s">
        <v>32</v>
      </c>
      <c r="C9" s="4" t="s">
        <v>33</v>
      </c>
      <c r="D9" s="4"/>
      <c r="F9" s="4">
        <v>13</v>
      </c>
      <c r="G9" s="4"/>
      <c r="H9" s="16"/>
      <c r="I9" s="4"/>
      <c r="J9" s="4">
        <v>20</v>
      </c>
    </row>
    <row r="10" spans="1:14">
      <c r="A10" s="4" t="s">
        <v>34</v>
      </c>
      <c r="B10" s="4" t="s">
        <v>35</v>
      </c>
      <c r="C10" s="4" t="s">
        <v>36</v>
      </c>
      <c r="D10" s="4"/>
      <c r="F10" s="4">
        <v>12</v>
      </c>
      <c r="G10" s="4"/>
      <c r="H10" s="4"/>
      <c r="I10" s="4"/>
      <c r="J10" s="8"/>
    </row>
    <row r="11" spans="1:14">
      <c r="A11" s="4" t="s">
        <v>37</v>
      </c>
      <c r="B11" s="4" t="s">
        <v>38</v>
      </c>
      <c r="C11" s="4" t="s">
        <v>39</v>
      </c>
      <c r="D11" s="4"/>
      <c r="F11" s="4">
        <v>13</v>
      </c>
      <c r="G11" s="4"/>
      <c r="H11" s="4"/>
      <c r="I11" s="4"/>
      <c r="J11" s="4">
        <v>14</v>
      </c>
    </row>
    <row r="12" spans="1:14">
      <c r="A12" s="4" t="s">
        <v>40</v>
      </c>
      <c r="B12" s="4" t="s">
        <v>41</v>
      </c>
      <c r="C12" s="4" t="s">
        <v>42</v>
      </c>
      <c r="D12" s="4"/>
      <c r="F12" s="4">
        <v>13</v>
      </c>
      <c r="G12" s="4"/>
      <c r="H12" s="16"/>
      <c r="I12" s="4"/>
      <c r="J12" s="4">
        <v>15</v>
      </c>
    </row>
    <row r="13" spans="1:14">
      <c r="A13" s="4" t="s">
        <v>43</v>
      </c>
      <c r="B13" s="4" t="s">
        <v>72</v>
      </c>
      <c r="C13" s="4" t="s">
        <v>45</v>
      </c>
      <c r="D13" s="4"/>
      <c r="F13" s="4">
        <v>11</v>
      </c>
      <c r="G13" s="4"/>
      <c r="H13" s="4"/>
      <c r="I13" s="4"/>
      <c r="J13" s="4">
        <v>10</v>
      </c>
    </row>
    <row r="14" spans="1:14">
      <c r="A14" s="4" t="s">
        <v>46</v>
      </c>
      <c r="B14" s="4" t="s">
        <v>47</v>
      </c>
      <c r="C14" s="4" t="s">
        <v>48</v>
      </c>
      <c r="D14" s="4"/>
      <c r="F14" s="4">
        <v>11</v>
      </c>
      <c r="G14" s="4"/>
      <c r="H14" s="16"/>
      <c r="I14" s="4"/>
      <c r="J14" s="4">
        <v>0</v>
      </c>
    </row>
    <row r="15" spans="1:14">
      <c r="A15" s="4" t="s">
        <v>49</v>
      </c>
      <c r="B15" s="4" t="s">
        <v>50</v>
      </c>
      <c r="C15" s="4" t="s">
        <v>51</v>
      </c>
      <c r="D15" s="4"/>
      <c r="F15" s="4">
        <v>12</v>
      </c>
      <c r="G15" s="4"/>
      <c r="H15" s="16"/>
      <c r="I15" s="4"/>
      <c r="J15" s="4">
        <v>15</v>
      </c>
    </row>
    <row r="16" spans="1:14">
      <c r="A16" s="25" t="s">
        <v>52</v>
      </c>
      <c r="B16" s="25" t="s">
        <v>53</v>
      </c>
      <c r="C16" s="25" t="s">
        <v>54</v>
      </c>
      <c r="D16" s="4"/>
      <c r="F16" s="8"/>
      <c r="G16" s="4"/>
      <c r="H16" s="4"/>
      <c r="I16" s="4"/>
      <c r="J16" s="4">
        <v>10</v>
      </c>
    </row>
    <row r="17" spans="1:10">
      <c r="A17" t="s">
        <v>73</v>
      </c>
      <c r="C17" t="s">
        <v>74</v>
      </c>
      <c r="F17">
        <v>17</v>
      </c>
      <c r="J17">
        <v>20</v>
      </c>
    </row>
    <row r="18" spans="1:10">
      <c r="G18" t="s">
        <v>75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selection activeCell="L5" sqref="L5"/>
    </sheetView>
  </sheetViews>
  <sheetFormatPr defaultColWidth="9.14285714285714" defaultRowHeight="15"/>
  <cols>
    <col min="2" max="2" width="27.1428571428571" customWidth="1"/>
    <col min="3" max="3" width="19.1428571428571" customWidth="1"/>
    <col min="7" max="7" width="18.4285714285714" customWidth="1"/>
    <col min="8" max="8" width="14.7142857142857" customWidth="1"/>
    <col min="9" max="9" width="10" customWidth="1"/>
    <col min="10" max="10" width="13.8571428571429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4" t="s">
        <v>82</v>
      </c>
    </row>
    <row r="2" spans="1:10">
      <c r="A2" s="5"/>
      <c r="B2" s="5"/>
      <c r="C2" s="5"/>
      <c r="D2" s="5"/>
      <c r="E2" s="5"/>
      <c r="F2" s="5"/>
      <c r="G2" s="17"/>
      <c r="H2" s="4"/>
      <c r="I2" s="4"/>
      <c r="J2" s="4"/>
    </row>
    <row r="3" spans="1:10">
      <c r="A3" s="4" t="s">
        <v>10</v>
      </c>
      <c r="B3" s="4" t="s">
        <v>11</v>
      </c>
      <c r="C3" s="4" t="s">
        <v>12</v>
      </c>
      <c r="D3" s="4">
        <v>18</v>
      </c>
      <c r="E3" s="4">
        <v>12</v>
      </c>
      <c r="F3" s="4">
        <v>14</v>
      </c>
      <c r="G3" s="4">
        <v>16</v>
      </c>
      <c r="H3" s="4">
        <v>15.88</v>
      </c>
      <c r="I3">
        <v>16.75</v>
      </c>
      <c r="J3" s="4"/>
    </row>
    <row r="4" spans="1:10">
      <c r="A4" s="4" t="s">
        <v>13</v>
      </c>
      <c r="B4" s="4" t="s">
        <v>14</v>
      </c>
      <c r="C4" s="18" t="s">
        <v>15</v>
      </c>
      <c r="D4" s="4">
        <v>14</v>
      </c>
      <c r="E4" s="4">
        <v>13</v>
      </c>
      <c r="F4" s="4">
        <v>15</v>
      </c>
      <c r="G4" s="16" t="s">
        <v>83</v>
      </c>
      <c r="H4" s="4">
        <v>18</v>
      </c>
      <c r="I4" s="4">
        <v>18.8</v>
      </c>
      <c r="J4" s="4"/>
    </row>
    <row r="5" spans="1:10">
      <c r="A5" s="4" t="s">
        <v>16</v>
      </c>
      <c r="B5" s="4" t="s">
        <v>17</v>
      </c>
      <c r="C5" s="25" t="s">
        <v>18</v>
      </c>
      <c r="D5" s="4">
        <v>17</v>
      </c>
      <c r="E5" s="4">
        <v>14</v>
      </c>
      <c r="F5" s="4">
        <v>14</v>
      </c>
      <c r="G5" s="4">
        <v>14</v>
      </c>
      <c r="H5" s="4">
        <v>20</v>
      </c>
      <c r="I5" s="8"/>
      <c r="J5" s="4"/>
    </row>
    <row r="6" spans="1:10">
      <c r="A6" s="4" t="s">
        <v>19</v>
      </c>
      <c r="B6" s="4" t="s">
        <v>20</v>
      </c>
      <c r="C6" s="4" t="s">
        <v>21</v>
      </c>
      <c r="D6" s="4">
        <v>15</v>
      </c>
      <c r="E6" s="4">
        <v>15</v>
      </c>
      <c r="F6" s="4">
        <v>14</v>
      </c>
      <c r="G6" s="4">
        <v>14</v>
      </c>
      <c r="H6" s="4">
        <v>8</v>
      </c>
      <c r="I6" s="8"/>
      <c r="J6" s="4"/>
    </row>
    <row r="7" spans="1:10">
      <c r="A7" s="4" t="s">
        <v>22</v>
      </c>
      <c r="B7" s="4" t="s">
        <v>23</v>
      </c>
      <c r="C7" s="4" t="s">
        <v>24</v>
      </c>
      <c r="D7" s="4">
        <v>18</v>
      </c>
      <c r="E7" s="4">
        <v>16</v>
      </c>
      <c r="F7" s="4">
        <v>17</v>
      </c>
      <c r="G7" s="4">
        <v>14</v>
      </c>
      <c r="H7" s="4">
        <v>19.75</v>
      </c>
      <c r="I7" s="4">
        <v>17</v>
      </c>
      <c r="J7" s="4"/>
    </row>
    <row r="8" spans="1:10">
      <c r="A8" s="4" t="s">
        <v>25</v>
      </c>
      <c r="B8" s="4" t="s">
        <v>26</v>
      </c>
      <c r="C8" s="4" t="s">
        <v>27</v>
      </c>
      <c r="D8" s="4">
        <v>18</v>
      </c>
      <c r="E8" s="4">
        <v>17</v>
      </c>
      <c r="F8" s="4">
        <v>17</v>
      </c>
      <c r="G8" s="4">
        <v>13</v>
      </c>
      <c r="H8" s="4">
        <v>15.5</v>
      </c>
      <c r="I8" s="4">
        <v>15.5</v>
      </c>
      <c r="J8" s="4"/>
    </row>
    <row r="9" spans="1:10">
      <c r="A9" s="4" t="s">
        <v>28</v>
      </c>
      <c r="B9" s="4" t="s">
        <v>29</v>
      </c>
      <c r="C9" s="4" t="s">
        <v>30</v>
      </c>
      <c r="D9" s="4">
        <v>15</v>
      </c>
      <c r="E9" s="4">
        <v>18</v>
      </c>
      <c r="F9" s="4">
        <v>16</v>
      </c>
      <c r="G9" s="16" t="s">
        <v>83</v>
      </c>
      <c r="H9" s="16" t="s">
        <v>84</v>
      </c>
      <c r="I9" s="4" t="s">
        <v>85</v>
      </c>
      <c r="J9" s="4"/>
    </row>
    <row r="10" spans="1:10">
      <c r="A10" s="4" t="s">
        <v>31</v>
      </c>
      <c r="B10" s="4" t="s">
        <v>32</v>
      </c>
      <c r="C10" s="4" t="s">
        <v>33</v>
      </c>
      <c r="D10" s="4">
        <v>18</v>
      </c>
      <c r="E10" s="4">
        <v>19</v>
      </c>
      <c r="F10" s="4">
        <v>14</v>
      </c>
      <c r="G10" s="16" t="s">
        <v>86</v>
      </c>
      <c r="H10" s="4">
        <v>15.88</v>
      </c>
      <c r="I10" s="4">
        <v>17</v>
      </c>
      <c r="J10" s="4"/>
    </row>
    <row r="11" spans="1:10">
      <c r="A11" s="4" t="s">
        <v>34</v>
      </c>
      <c r="B11" s="4" t="s">
        <v>35</v>
      </c>
      <c r="C11" s="4" t="s">
        <v>36</v>
      </c>
      <c r="D11" s="4">
        <v>15</v>
      </c>
      <c r="E11" s="4">
        <v>20</v>
      </c>
      <c r="F11" s="4">
        <v>14</v>
      </c>
      <c r="G11" s="4">
        <v>12</v>
      </c>
      <c r="H11" s="4">
        <v>18</v>
      </c>
      <c r="I11" s="4">
        <v>17</v>
      </c>
      <c r="J11" s="4"/>
    </row>
    <row r="12" spans="1:10">
      <c r="A12" s="4" t="s">
        <v>37</v>
      </c>
      <c r="B12" s="4" t="s">
        <v>38</v>
      </c>
      <c r="C12" s="4" t="s">
        <v>39</v>
      </c>
      <c r="D12" s="4">
        <v>18</v>
      </c>
      <c r="E12" s="4">
        <v>21</v>
      </c>
      <c r="F12" s="4">
        <v>16</v>
      </c>
      <c r="G12" s="4">
        <v>14</v>
      </c>
      <c r="H12" s="4">
        <v>16</v>
      </c>
      <c r="I12" s="8"/>
      <c r="J12" s="4"/>
    </row>
    <row r="13" spans="1:10">
      <c r="A13" s="4" t="s">
        <v>40</v>
      </c>
      <c r="B13" s="4" t="s">
        <v>41</v>
      </c>
      <c r="C13" s="4" t="s">
        <v>42</v>
      </c>
      <c r="D13" s="4">
        <v>18</v>
      </c>
      <c r="E13" s="4">
        <v>22</v>
      </c>
      <c r="F13" s="4">
        <v>14</v>
      </c>
      <c r="G13" s="16" t="s">
        <v>86</v>
      </c>
      <c r="H13" s="4">
        <v>18</v>
      </c>
      <c r="I13" s="4">
        <v>17</v>
      </c>
      <c r="J13" s="4"/>
    </row>
    <row r="14" spans="1:10">
      <c r="A14" s="4" t="s">
        <v>43</v>
      </c>
      <c r="B14" s="4" t="s">
        <v>72</v>
      </c>
      <c r="C14" s="4" t="s">
        <v>45</v>
      </c>
      <c r="D14" s="4">
        <v>17</v>
      </c>
      <c r="E14" s="4">
        <v>23</v>
      </c>
      <c r="F14" s="4">
        <v>16</v>
      </c>
      <c r="G14" s="4">
        <v>15</v>
      </c>
      <c r="H14" s="4">
        <v>17.5</v>
      </c>
      <c r="I14" s="4">
        <v>17</v>
      </c>
      <c r="J14" s="4"/>
    </row>
    <row r="15" spans="1:10">
      <c r="A15" s="4" t="s">
        <v>46</v>
      </c>
      <c r="B15" s="4" t="s">
        <v>47</v>
      </c>
      <c r="C15" s="4" t="s">
        <v>48</v>
      </c>
      <c r="D15" s="4">
        <v>15</v>
      </c>
      <c r="E15" s="4">
        <v>24</v>
      </c>
      <c r="F15" s="4" t="s">
        <v>83</v>
      </c>
      <c r="G15" s="16" t="s">
        <v>83</v>
      </c>
      <c r="H15" s="4">
        <v>13.38</v>
      </c>
      <c r="I15" s="4">
        <v>14</v>
      </c>
      <c r="J15" s="4"/>
    </row>
    <row r="16" spans="1:10">
      <c r="A16" s="4" t="s">
        <v>49</v>
      </c>
      <c r="B16" s="4" t="s">
        <v>50</v>
      </c>
      <c r="C16" s="4" t="s">
        <v>51</v>
      </c>
      <c r="D16" s="4">
        <v>17</v>
      </c>
      <c r="E16" s="4">
        <v>25</v>
      </c>
      <c r="F16" s="4">
        <v>15</v>
      </c>
      <c r="G16" s="16" t="s">
        <v>83</v>
      </c>
      <c r="H16" s="4">
        <v>18</v>
      </c>
      <c r="I16" s="4">
        <v>18</v>
      </c>
      <c r="J16" s="4"/>
    </row>
    <row r="17" spans="1:10">
      <c r="A17" s="25" t="s">
        <v>52</v>
      </c>
      <c r="B17" s="25" t="s">
        <v>53</v>
      </c>
      <c r="C17" s="25" t="s">
        <v>54</v>
      </c>
      <c r="D17" s="4">
        <v>15</v>
      </c>
      <c r="E17" s="4">
        <v>26</v>
      </c>
      <c r="F17" s="4">
        <v>17</v>
      </c>
      <c r="G17" s="4">
        <v>15</v>
      </c>
      <c r="H17" s="4">
        <v>18</v>
      </c>
      <c r="I17" s="4">
        <v>17.5</v>
      </c>
      <c r="J17" s="4"/>
    </row>
    <row r="18" spans="1:10">
      <c r="I18" s="4"/>
      <c r="J18" s="4"/>
    </row>
    <row r="19" spans="1:10">
      <c r="A19" s="5"/>
      <c r="B19" s="5"/>
      <c r="C19" s="5"/>
      <c r="D19" s="4"/>
      <c r="E19" s="4"/>
      <c r="F19" s="4"/>
      <c r="G19" s="4"/>
      <c r="H19" s="4"/>
      <c r="I19" s="4"/>
      <c r="J19" s="4"/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22"/>
  <sheetViews>
    <sheetView workbookViewId="0">
      <selection activeCell="R5" sqref="R5"/>
    </sheetView>
  </sheetViews>
  <sheetFormatPr defaultColWidth="9.14285714285714" defaultRowHeight="15"/>
  <cols>
    <col min="2" max="2" width="22.1428571428571" customWidth="1"/>
    <col min="3" max="3" width="18" customWidth="1"/>
  </cols>
  <sheetData>
    <row r="2" spans="1:16">
      <c r="A2" s="1" t="s">
        <v>87</v>
      </c>
      <c r="B2" s="2" t="s">
        <v>1</v>
      </c>
      <c r="C2" s="2" t="s">
        <v>88</v>
      </c>
      <c r="D2" s="2" t="s">
        <v>62</v>
      </c>
      <c r="E2" s="2" t="s">
        <v>89</v>
      </c>
      <c r="F2" s="2" t="s">
        <v>90</v>
      </c>
      <c r="G2" s="2" t="s">
        <v>91</v>
      </c>
      <c r="H2" s="2" t="s">
        <v>67</v>
      </c>
      <c r="I2" s="2" t="s">
        <v>92</v>
      </c>
      <c r="J2" s="2" t="s">
        <v>93</v>
      </c>
      <c r="K2" s="2" t="s">
        <v>94</v>
      </c>
      <c r="L2" s="2" t="s">
        <v>95</v>
      </c>
      <c r="M2" s="3" t="s">
        <v>96</v>
      </c>
      <c r="N2" s="4"/>
      <c r="O2" s="4"/>
      <c r="P2" s="4"/>
    </row>
    <row r="3" spans="1:16">
      <c r="A3" s="5" t="s">
        <v>97</v>
      </c>
      <c r="B3" s="5" t="s">
        <v>98</v>
      </c>
      <c r="C3" s="5" t="s">
        <v>99</v>
      </c>
      <c r="D3" s="5">
        <v>10</v>
      </c>
      <c r="E3" s="5"/>
      <c r="F3" s="5">
        <v>13.5</v>
      </c>
      <c r="G3" s="5">
        <v>16</v>
      </c>
      <c r="H3" s="6">
        <v>10.5</v>
      </c>
      <c r="I3" s="5">
        <v>10</v>
      </c>
      <c r="J3" s="5">
        <v>12</v>
      </c>
      <c r="K3" s="5"/>
      <c r="L3" s="5"/>
      <c r="M3" s="5"/>
      <c r="N3" s="5">
        <f t="shared" ref="N3:N22" si="0">SUM(D3:M3)</f>
        <v>72</v>
      </c>
      <c r="O3" s="7">
        <f>N3/7</f>
        <v>10.2857142857143</v>
      </c>
      <c r="P3" s="4"/>
    </row>
    <row r="4" spans="1:16">
      <c r="A4" s="8" t="s">
        <v>100</v>
      </c>
      <c r="B4" s="8" t="s">
        <v>101</v>
      </c>
      <c r="C4" s="8" t="s">
        <v>102</v>
      </c>
      <c r="D4" s="8">
        <v>20</v>
      </c>
      <c r="E4" s="8">
        <v>12</v>
      </c>
      <c r="F4" s="8">
        <v>12</v>
      </c>
      <c r="G4" s="8">
        <v>20</v>
      </c>
      <c r="H4" s="9">
        <v>16</v>
      </c>
      <c r="I4" s="8">
        <v>13</v>
      </c>
      <c r="J4" s="8">
        <v>13</v>
      </c>
      <c r="K4" s="8">
        <v>12</v>
      </c>
      <c r="L4" s="8"/>
      <c r="M4" s="8"/>
      <c r="N4" s="8">
        <f t="shared" si="0"/>
        <v>118</v>
      </c>
      <c r="O4" s="10">
        <f t="shared" ref="O4:O7" si="1">N4/8</f>
        <v>14.75</v>
      </c>
      <c r="P4" s="11">
        <v>3</v>
      </c>
    </row>
    <row r="5" spans="1:16">
      <c r="A5" s="4" t="s">
        <v>103</v>
      </c>
      <c r="B5" s="4" t="s">
        <v>104</v>
      </c>
      <c r="C5" s="4" t="s">
        <v>105</v>
      </c>
      <c r="D5" s="4">
        <v>10</v>
      </c>
      <c r="E5" s="8">
        <v>12</v>
      </c>
      <c r="F5" s="4">
        <v>11</v>
      </c>
      <c r="G5" s="4">
        <v>15</v>
      </c>
      <c r="H5" s="12">
        <v>0</v>
      </c>
      <c r="I5" s="4">
        <v>10.5</v>
      </c>
      <c r="J5" s="4">
        <v>11</v>
      </c>
      <c r="K5" s="4">
        <v>9</v>
      </c>
      <c r="L5" s="4"/>
      <c r="M5" s="4"/>
      <c r="N5" s="4">
        <f t="shared" si="0"/>
        <v>78.5</v>
      </c>
      <c r="O5" s="13">
        <f t="shared" si="1"/>
        <v>9.8125</v>
      </c>
      <c r="P5" s="4">
        <v>10</v>
      </c>
    </row>
    <row r="6" spans="1:16">
      <c r="A6" s="4" t="s">
        <v>106</v>
      </c>
      <c r="B6" s="4" t="s">
        <v>107</v>
      </c>
      <c r="C6" s="4" t="s">
        <v>108</v>
      </c>
      <c r="D6" s="4">
        <v>20</v>
      </c>
      <c r="E6" s="8">
        <v>12</v>
      </c>
      <c r="F6" s="4">
        <v>12</v>
      </c>
      <c r="G6" s="4">
        <v>17</v>
      </c>
      <c r="H6" s="14">
        <v>9.25</v>
      </c>
      <c r="I6" s="4">
        <v>10.5</v>
      </c>
      <c r="J6" s="4">
        <v>17</v>
      </c>
      <c r="K6" s="15">
        <v>0</v>
      </c>
      <c r="L6" s="4"/>
      <c r="M6" s="4"/>
      <c r="N6" s="4">
        <f t="shared" si="0"/>
        <v>97.75</v>
      </c>
      <c r="O6" s="13">
        <f t="shared" si="1"/>
        <v>12.21875</v>
      </c>
      <c r="P6" s="16" t="s">
        <v>109</v>
      </c>
    </row>
    <row r="7" spans="1:16">
      <c r="A7" s="4" t="s">
        <v>110</v>
      </c>
      <c r="B7" s="4" t="s">
        <v>111</v>
      </c>
      <c r="C7" s="4" t="s">
        <v>112</v>
      </c>
      <c r="D7" s="4">
        <v>16</v>
      </c>
      <c r="E7" s="8">
        <v>12</v>
      </c>
      <c r="F7" s="4">
        <v>13</v>
      </c>
      <c r="G7" s="4">
        <v>15</v>
      </c>
      <c r="H7" s="14">
        <v>10.75</v>
      </c>
      <c r="I7" s="4">
        <v>10.5</v>
      </c>
      <c r="J7" s="4">
        <v>14.5</v>
      </c>
      <c r="K7" s="4">
        <v>11</v>
      </c>
      <c r="L7" s="4"/>
      <c r="M7" s="4"/>
      <c r="N7" s="4">
        <f t="shared" si="0"/>
        <v>102.75</v>
      </c>
      <c r="O7" s="13">
        <f t="shared" si="1"/>
        <v>12.84375</v>
      </c>
      <c r="P7" s="4">
        <v>7</v>
      </c>
    </row>
    <row r="8" spans="1:16">
      <c r="A8" s="5" t="s">
        <v>113</v>
      </c>
      <c r="B8" s="5" t="s">
        <v>114</v>
      </c>
      <c r="C8" s="5" t="s">
        <v>115</v>
      </c>
      <c r="D8" s="5">
        <v>20</v>
      </c>
      <c r="E8" s="8">
        <v>12</v>
      </c>
      <c r="F8" s="17">
        <v>0</v>
      </c>
      <c r="G8" s="5">
        <v>17</v>
      </c>
      <c r="H8" s="5"/>
      <c r="I8" s="5">
        <v>10.5</v>
      </c>
      <c r="J8" s="17">
        <v>0</v>
      </c>
      <c r="K8" s="5"/>
      <c r="L8" s="5"/>
      <c r="M8" s="5"/>
      <c r="N8" s="5">
        <f t="shared" si="0"/>
        <v>59.5</v>
      </c>
      <c r="O8" s="7">
        <f>N8/7</f>
        <v>8.5</v>
      </c>
      <c r="P8" s="5"/>
    </row>
    <row r="9" spans="1:16">
      <c r="A9" s="18" t="s">
        <v>116</v>
      </c>
      <c r="B9" s="4" t="s">
        <v>117</v>
      </c>
      <c r="C9" s="19" t="s">
        <v>118</v>
      </c>
      <c r="D9" s="4">
        <v>16</v>
      </c>
      <c r="E9" s="8">
        <v>12</v>
      </c>
      <c r="F9" s="4">
        <v>15</v>
      </c>
      <c r="G9" s="4">
        <v>18</v>
      </c>
      <c r="H9" s="15">
        <v>12.5</v>
      </c>
      <c r="I9" s="4">
        <v>10.5</v>
      </c>
      <c r="J9" s="4">
        <v>12</v>
      </c>
      <c r="K9" s="20"/>
      <c r="L9" s="4"/>
      <c r="M9" s="4"/>
      <c r="N9" s="4">
        <f t="shared" si="0"/>
        <v>96</v>
      </c>
      <c r="O9" s="21">
        <f t="shared" ref="O9:O16" si="2">N9/8</f>
        <v>12</v>
      </c>
      <c r="P9" s="4"/>
    </row>
    <row r="10" spans="1:16">
      <c r="A10" s="8" t="s">
        <v>119</v>
      </c>
      <c r="B10" s="8" t="s">
        <v>120</v>
      </c>
      <c r="C10" s="8" t="s">
        <v>121</v>
      </c>
      <c r="D10" s="8">
        <v>20</v>
      </c>
      <c r="E10" s="8">
        <v>12</v>
      </c>
      <c r="F10" s="8">
        <v>14</v>
      </c>
      <c r="G10" s="8">
        <v>20</v>
      </c>
      <c r="H10" s="8">
        <v>17.75</v>
      </c>
      <c r="I10" s="8">
        <v>11.5</v>
      </c>
      <c r="J10" s="8">
        <v>12.5</v>
      </c>
      <c r="K10" s="8">
        <v>15</v>
      </c>
      <c r="L10" s="8"/>
      <c r="M10" s="8"/>
      <c r="N10" s="8">
        <f t="shared" si="0"/>
        <v>122.75</v>
      </c>
      <c r="O10" s="10">
        <f t="shared" si="2"/>
        <v>15.34375</v>
      </c>
      <c r="P10" s="11">
        <v>1</v>
      </c>
    </row>
    <row r="11" spans="1:16">
      <c r="A11" s="4" t="s">
        <v>122</v>
      </c>
      <c r="B11" s="4" t="s">
        <v>123</v>
      </c>
      <c r="C11" s="4" t="s">
        <v>124</v>
      </c>
      <c r="D11" s="4">
        <v>16</v>
      </c>
      <c r="E11" s="8">
        <v>12</v>
      </c>
      <c r="F11" s="4">
        <v>13</v>
      </c>
      <c r="G11" s="4">
        <v>18</v>
      </c>
      <c r="H11" s="14">
        <v>6.25</v>
      </c>
      <c r="I11" s="4">
        <v>10.5</v>
      </c>
      <c r="J11" s="4">
        <v>11</v>
      </c>
      <c r="K11" s="4">
        <v>11</v>
      </c>
      <c r="L11" s="4"/>
      <c r="M11" s="4"/>
      <c r="N11" s="4">
        <f t="shared" si="0"/>
        <v>97.75</v>
      </c>
      <c r="O11" s="13">
        <f t="shared" si="2"/>
        <v>12.21875</v>
      </c>
      <c r="P11" s="16" t="s">
        <v>109</v>
      </c>
    </row>
    <row r="12" spans="1:16">
      <c r="A12" s="18" t="s">
        <v>125</v>
      </c>
      <c r="B12" s="4" t="s">
        <v>126</v>
      </c>
      <c r="C12" s="19" t="s">
        <v>127</v>
      </c>
      <c r="D12" s="4">
        <v>16</v>
      </c>
      <c r="E12" s="8">
        <v>12</v>
      </c>
      <c r="F12" s="4">
        <v>13.5</v>
      </c>
      <c r="G12" s="4">
        <v>17</v>
      </c>
      <c r="H12" s="14">
        <v>9</v>
      </c>
      <c r="I12" s="4">
        <v>10</v>
      </c>
      <c r="J12" s="4">
        <v>15.5</v>
      </c>
      <c r="K12" s="4">
        <v>4</v>
      </c>
      <c r="L12" s="4"/>
      <c r="M12" s="4"/>
      <c r="N12" s="4">
        <f t="shared" si="0"/>
        <v>97</v>
      </c>
      <c r="O12" s="13">
        <f t="shared" si="2"/>
        <v>12.125</v>
      </c>
      <c r="P12" s="4">
        <v>9</v>
      </c>
    </row>
    <row r="13" spans="1:16">
      <c r="A13" s="4" t="s">
        <v>128</v>
      </c>
      <c r="B13" s="4" t="s">
        <v>129</v>
      </c>
      <c r="C13" s="4" t="s">
        <v>130</v>
      </c>
      <c r="D13" s="4">
        <v>20</v>
      </c>
      <c r="E13" s="8">
        <v>12</v>
      </c>
      <c r="F13" s="4">
        <v>12.5</v>
      </c>
      <c r="G13" s="4">
        <v>14</v>
      </c>
      <c r="H13" s="15">
        <v>15</v>
      </c>
      <c r="I13" s="4">
        <v>10.75</v>
      </c>
      <c r="J13" s="4">
        <v>14</v>
      </c>
      <c r="K13" s="4">
        <v>12</v>
      </c>
      <c r="L13" s="4"/>
      <c r="M13" s="4"/>
      <c r="N13" s="4">
        <f t="shared" si="0"/>
        <v>110.25</v>
      </c>
      <c r="O13" s="13">
        <f t="shared" si="2"/>
        <v>13.78125</v>
      </c>
      <c r="P13" s="4">
        <v>5</v>
      </c>
    </row>
    <row r="14" spans="1:16">
      <c r="A14" s="4" t="s">
        <v>131</v>
      </c>
      <c r="B14" s="4" t="s">
        <v>132</v>
      </c>
      <c r="C14" s="4" t="s">
        <v>133</v>
      </c>
      <c r="D14" s="4">
        <v>16</v>
      </c>
      <c r="E14" s="8">
        <v>12</v>
      </c>
      <c r="F14" s="4">
        <v>10.5</v>
      </c>
      <c r="G14" s="4">
        <v>17</v>
      </c>
      <c r="H14" s="15">
        <v>14</v>
      </c>
      <c r="I14" s="4">
        <v>13.5</v>
      </c>
      <c r="J14" s="4">
        <v>12.5</v>
      </c>
      <c r="K14" s="4">
        <v>13</v>
      </c>
      <c r="L14" s="4"/>
      <c r="M14" s="4"/>
      <c r="N14" s="4">
        <f t="shared" si="0"/>
        <v>108.5</v>
      </c>
      <c r="O14" s="13">
        <f t="shared" si="2"/>
        <v>13.5625</v>
      </c>
      <c r="P14" s="4">
        <v>6</v>
      </c>
    </row>
    <row r="15" spans="1:16">
      <c r="A15" s="8" t="s">
        <v>134</v>
      </c>
      <c r="B15" s="8" t="s">
        <v>135</v>
      </c>
      <c r="C15" s="8" t="s">
        <v>136</v>
      </c>
      <c r="D15" s="8">
        <v>20</v>
      </c>
      <c r="E15" s="8">
        <v>12</v>
      </c>
      <c r="F15" s="8">
        <v>14</v>
      </c>
      <c r="G15" s="8">
        <v>20</v>
      </c>
      <c r="H15" s="9">
        <v>17</v>
      </c>
      <c r="I15" s="8">
        <v>12.5</v>
      </c>
      <c r="J15" s="8">
        <v>11.5</v>
      </c>
      <c r="K15" s="8">
        <v>12</v>
      </c>
      <c r="L15" s="8"/>
      <c r="M15" s="8"/>
      <c r="N15" s="8">
        <f t="shared" si="0"/>
        <v>119</v>
      </c>
      <c r="O15" s="10">
        <f t="shared" si="2"/>
        <v>14.875</v>
      </c>
      <c r="P15" s="11">
        <v>2</v>
      </c>
    </row>
    <row r="16" spans="1:16">
      <c r="A16" s="4" t="s">
        <v>137</v>
      </c>
      <c r="B16" s="4" t="s">
        <v>138</v>
      </c>
      <c r="C16" s="4" t="s">
        <v>139</v>
      </c>
      <c r="D16" s="20">
        <v>16</v>
      </c>
      <c r="E16" s="8">
        <v>12</v>
      </c>
      <c r="F16" s="4">
        <v>13</v>
      </c>
      <c r="G16" s="4">
        <v>15</v>
      </c>
      <c r="H16" s="15">
        <v>17.5</v>
      </c>
      <c r="I16" s="4">
        <v>13.25</v>
      </c>
      <c r="J16" s="4">
        <v>13</v>
      </c>
      <c r="K16" s="4">
        <v>11</v>
      </c>
      <c r="L16" s="4"/>
      <c r="M16" s="4"/>
      <c r="N16" s="4">
        <f t="shared" si="0"/>
        <v>110.75</v>
      </c>
      <c r="O16" s="21">
        <f t="shared" si="2"/>
        <v>13.84375</v>
      </c>
      <c r="P16" s="4">
        <v>4</v>
      </c>
    </row>
    <row r="17" spans="1:16">
      <c r="A17" s="5" t="s">
        <v>140</v>
      </c>
      <c r="B17" s="5" t="s">
        <v>141</v>
      </c>
      <c r="C17" s="5" t="s">
        <v>142</v>
      </c>
      <c r="D17" s="5"/>
      <c r="E17" s="5"/>
      <c r="F17" s="17">
        <v>0</v>
      </c>
      <c r="G17" s="5">
        <v>15</v>
      </c>
      <c r="H17" s="22">
        <v>10.25</v>
      </c>
      <c r="I17" s="5">
        <v>12.5</v>
      </c>
      <c r="J17" s="17">
        <v>0</v>
      </c>
      <c r="K17" s="5"/>
      <c r="L17" s="5"/>
      <c r="M17" s="5"/>
      <c r="N17" s="5">
        <f t="shared" si="0"/>
        <v>37.75</v>
      </c>
      <c r="O17" s="7">
        <f t="shared" ref="O17:O21" si="3">N17/7</f>
        <v>5.39285714285714</v>
      </c>
      <c r="P17" s="4"/>
    </row>
    <row r="18" spans="1:16">
      <c r="A18" s="4" t="s">
        <v>143</v>
      </c>
      <c r="B18" s="4" t="s">
        <v>144</v>
      </c>
      <c r="C18" s="4" t="s">
        <v>145</v>
      </c>
      <c r="D18" s="20">
        <v>16</v>
      </c>
      <c r="E18" s="20"/>
      <c r="F18" s="4">
        <v>12.5</v>
      </c>
      <c r="G18" s="4">
        <v>13</v>
      </c>
      <c r="H18" s="15">
        <v>14.25</v>
      </c>
      <c r="I18" s="4">
        <v>10</v>
      </c>
      <c r="J18" s="4">
        <v>13.5</v>
      </c>
      <c r="K18" s="15">
        <v>6</v>
      </c>
      <c r="L18" s="4"/>
      <c r="M18" s="4"/>
      <c r="N18" s="4">
        <f t="shared" si="0"/>
        <v>85.25</v>
      </c>
      <c r="O18" s="23">
        <f t="shared" si="3"/>
        <v>12.1785714285714</v>
      </c>
      <c r="P18" s="4"/>
    </row>
    <row r="19" spans="1:16">
      <c r="A19" s="4" t="s">
        <v>146</v>
      </c>
      <c r="B19" s="4" t="s">
        <v>147</v>
      </c>
      <c r="C19" s="4" t="s">
        <v>148</v>
      </c>
      <c r="D19" s="20">
        <v>16</v>
      </c>
      <c r="E19" s="8">
        <v>12</v>
      </c>
      <c r="F19" s="20"/>
      <c r="G19" s="4">
        <v>18</v>
      </c>
      <c r="H19" s="15">
        <v>17.75</v>
      </c>
      <c r="I19" s="4">
        <v>12.75</v>
      </c>
      <c r="J19" s="4">
        <v>15</v>
      </c>
      <c r="K19" s="4">
        <v>11</v>
      </c>
      <c r="L19" s="4"/>
      <c r="M19" s="4"/>
      <c r="N19" s="4">
        <f t="shared" si="0"/>
        <v>102.5</v>
      </c>
      <c r="O19" s="23">
        <f t="shared" si="3"/>
        <v>14.6428571428571</v>
      </c>
      <c r="P19" s="4"/>
    </row>
    <row r="20" spans="1:16">
      <c r="A20" s="5" t="s">
        <v>149</v>
      </c>
      <c r="B20" s="5" t="s">
        <v>150</v>
      </c>
      <c r="C20" s="5" t="s">
        <v>151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f t="shared" si="0"/>
        <v>0</v>
      </c>
      <c r="O20" s="7">
        <f t="shared" si="3"/>
        <v>0</v>
      </c>
      <c r="P20" s="4"/>
    </row>
    <row r="21" spans="1:16">
      <c r="A21" s="5" t="s">
        <v>152</v>
      </c>
      <c r="B21" s="5" t="s">
        <v>153</v>
      </c>
      <c r="C21" s="5" t="s">
        <v>154</v>
      </c>
      <c r="D21" s="5"/>
      <c r="E21" s="5"/>
      <c r="F21" s="5"/>
      <c r="G21" s="5"/>
      <c r="H21" s="5"/>
      <c r="I21" s="5">
        <v>10</v>
      </c>
      <c r="J21" s="5"/>
      <c r="K21" s="5">
        <v>11</v>
      </c>
      <c r="L21" s="5"/>
      <c r="M21" s="5"/>
      <c r="N21" s="5">
        <f t="shared" si="0"/>
        <v>21</v>
      </c>
      <c r="O21" s="7">
        <f t="shared" si="3"/>
        <v>3</v>
      </c>
      <c r="P21" s="4"/>
    </row>
    <row r="22" spans="1:16">
      <c r="A22" s="4" t="s">
        <v>155</v>
      </c>
      <c r="B22" s="4" t="s">
        <v>156</v>
      </c>
      <c r="C22" s="4" t="s">
        <v>157</v>
      </c>
      <c r="D22" s="20">
        <v>16</v>
      </c>
      <c r="E22" s="8">
        <v>12</v>
      </c>
      <c r="F22" s="4"/>
      <c r="G22" s="20"/>
      <c r="H22" s="20"/>
      <c r="I22" s="20"/>
      <c r="J22" s="4">
        <v>16</v>
      </c>
      <c r="K22" s="4">
        <v>11</v>
      </c>
      <c r="L22" s="4"/>
      <c r="M22" s="4"/>
      <c r="N22" s="4">
        <f t="shared" si="0"/>
        <v>55</v>
      </c>
      <c r="O22" s="23">
        <f>N22/4</f>
        <v>13.75</v>
      </c>
      <c r="P22" s="4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PHP</vt:lpstr>
      <vt:lpstr>DTS1 - 2025</vt:lpstr>
      <vt:lpstr>DTS2 - 2026</vt:lpstr>
      <vt:lpstr>DTS1-2026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LABIRINT</dc:creator>
  <cp:lastModifiedBy>Nivo Randriambololona</cp:lastModifiedBy>
  <dcterms:created xsi:type="dcterms:W3CDTF">2026-05-10T14:48:00Z</dcterms:created>
  <dcterms:modified xsi:type="dcterms:W3CDTF">2026-07-10T15:15:18Z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FB437FE948294080925662CB790ADBA5_11</vt:lpwstr>
  </property>
  <property fmtid="{D5CDD505-2E9C-101B-9397-08002B2CF9AE}" pid="3" name="KSOProductBuildVer">
    <vt:lpwstr>1036-12.1.0.25862</vt:lpwstr>
  </property>
  <property fmtid="{D5CDD505-2E9C-101B-9397-08002B2CF9AE}" pid="4" name="CalculationRule">
    <vt:i4>1</vt:i4>
  </property>
</Properties>
</file>