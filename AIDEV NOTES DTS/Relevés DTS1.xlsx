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TS-0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<sst xmlns="http://schemas.openxmlformats.org/spreadsheetml/2006/main" count="61" uniqueCount="47">
  <si>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DTS-010</t>
  </si>
  <si>
    <t>ARIJAONA</t>
  </si>
  <si>
    <t>Fenomanantsoa Dylan</t>
  </si>
  <si>
    <t>CODE</t>
  </si>
  <si>
    <t>INTITULES</t>
  </si>
  <si>
    <t>NOTES</t>
  </si>
  <si>
    <t>COEFFICIENTS</t>
  </si>
  <si>
    <t>NOTES PONDEREES</t>
  </si>
  <si>
    <t>VALIDE</t>
  </si>
  <si>
    <t>BASE</t>
  </si>
  <si>
    <t>BA-INIT</t>
  </si>
  <si>
    <t>Initiation à l'informatique</t>
  </si>
  <si>
    <t>validé</t>
  </si>
  <si>
    <t>BA-ALG</t>
  </si>
  <si>
    <t>Algorithmique</t>
  </si>
  <si>
    <t>BA-ASD</t>
  </si>
  <si>
    <t>Algorithmes et structures de données</t>
  </si>
  <si>
    <t>BA-IPC</t>
  </si>
  <si>
    <t>Initiation à la programmation (Langage C)</t>
  </si>
  <si>
    <t>BA-SYE</t>
  </si>
  <si>
    <t>Système d'exploitation</t>
  </si>
  <si>
    <t>BA-RES</t>
  </si>
  <si>
    <t>Technologie des réseaux</t>
  </si>
  <si>
    <t>BA-MIN</t>
  </si>
  <si>
    <t>Maintenance informatique</t>
  </si>
  <si>
    <t>AVANCE</t>
  </si>
  <si>
    <t>AV-SGB</t>
  </si>
  <si>
    <t>SGBDR</t>
  </si>
  <si>
    <t>AV-SQL</t>
  </si>
  <si>
    <t>Langage SQL</t>
  </si>
  <si>
    <t>AV-PYT</t>
  </si>
  <si>
    <t>Python base</t>
  </si>
  <si>
    <t>PROGRAMMATION WEB BASE</t>
  </si>
  <si>
    <t>WE-HTC</t>
  </si>
  <si>
    <t>HTML - CSS</t>
  </si>
  <si>
    <t>WE-JSC</t>
  </si>
  <si>
    <t>JavaScript</t>
  </si>
  <si>
    <t>LANGUES ETRANGERES ET EXTRAS</t>
  </si>
  <si>
    <t>LX-FRA</t>
  </si>
  <si>
    <t>Français (Culture et communication)</t>
  </si>
  <si>
    <t>LX-STA</t>
  </si>
  <si>
    <t xml:space="preserve">Stage / Atelier </t>
  </si>
  <si>
    <t>LX-AGR</t>
  </si>
  <si>
    <t>Activités de groupe (intégration)</t>
  </si>
  <si>
    <t>Total crédits</t>
  </si>
  <si>
    <t>Total notes pondérées</t>
  </si>
  <si>
    <t>Moyenne /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</si>
</sst>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#,##0.0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>
      <alignment vertical="center"/>
    </xf>
    <xf numFmtId="0" fontId="0" fillId="0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1" fillId="6" borderId="0" xfId="0" applyFont="1" applyFill="1">
      <alignment vertical="center"/>
    </xf>
    <xf numFmtId="0" fontId="1" fillId="6" borderId="0" xfId="0" applyFont="1" applyFill="1" applyAlignment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178" fontId="1" fillId="6" borderId="0" xfId="0" applyNumberFormat="1" applyFont="1" applyFill="1" applyAlignme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F18" sqref="F18"/>
    </sheetView>
  </sheetViews>
  <sheetFormatPr defaultColWidth="9.14285714285714" defaultRowHeight="15" outlineLevelCol="5"/>
  <cols>
    <col min="1" max="1" width="16" customWidth="1"/>
    <col min="2" max="2" width="37.2857142857143" customWidth="1"/>
    <col min="3" max="3" width="14.8571428571429" customWidth="1"/>
    <col min="4" max="5" width="23.1428571428571" customWidth="1"/>
    <col min="6" max="6" width="13.142857142857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</row>
    <row r="3" spans="1:6">
      <c r="A3" s="5"/>
      <c r="B3" s="6" t="s">
        <v>9</v>
      </c>
      <c r="C3" s="7"/>
      <c r="D3" s="7"/>
      <c r="E3" s="7"/>
      <c r="F3" s="8"/>
    </row>
    <row r="4" spans="1:6">
      <c r="A4" s="5" t="s">
        <v>10</v>
      </c>
      <c r="B4" s="5" t="s">
        <v>11</v>
      </c>
      <c r="C4" s="9">
        <v>20</v>
      </c>
      <c r="D4" s="10">
        <v>2</v>
      </c>
      <c r="E4" s="5">
        <f t="shared" ref="E4:E10" si="0">C4*D4</f>
        <v>40</v>
      </c>
      <c r="F4" t="s">
        <v>12</v>
      </c>
    </row>
    <row r="5" spans="1:6">
      <c r="A5" s="5" t="s">
        <v>13</v>
      </c>
      <c r="B5" s="5" t="s">
        <v>14</v>
      </c>
      <c r="C5" s="10">
        <v>12</v>
      </c>
      <c r="D5" s="10">
        <v>3</v>
      </c>
      <c r="E5" s="5">
        <f t="shared" si="0"/>
        <v>36</v>
      </c>
      <c r="F5" t="s">
        <v>12</v>
      </c>
    </row>
    <row r="6" spans="1:6">
      <c r="A6" s="5" t="s">
        <v>15</v>
      </c>
      <c r="B6" s="5" t="s">
        <v>16</v>
      </c>
      <c r="C6" s="10">
        <v>12</v>
      </c>
      <c r="D6" s="10">
        <v>4</v>
      </c>
      <c r="E6" s="5">
        <f t="shared" si="0"/>
        <v>48</v>
      </c>
      <c r="F6" t="s">
        <v>12</v>
      </c>
    </row>
    <row r="7" spans="1:6">
      <c r="A7" s="5" t="s">
        <v>17</v>
      </c>
      <c r="B7" s="11" t="s">
        <v>18</v>
      </c>
      <c r="C7" s="10">
        <v>12</v>
      </c>
      <c r="D7" s="10">
        <v>4</v>
      </c>
      <c r="E7" s="5">
        <f t="shared" si="0"/>
        <v>48</v>
      </c>
      <c r="F7" t="s">
        <v>12</v>
      </c>
    </row>
    <row r="8" spans="1:6">
      <c r="A8" s="5" t="s">
        <v>19</v>
      </c>
      <c r="B8" s="11" t="s">
        <v>20</v>
      </c>
      <c r="C8" s="10">
        <v>14</v>
      </c>
      <c r="D8" s="10">
        <v>3</v>
      </c>
      <c r="E8" s="5">
        <f t="shared" si="0"/>
        <v>42</v>
      </c>
      <c r="F8" t="s">
        <v>12</v>
      </c>
    </row>
    <row r="9" spans="1:6">
      <c r="A9" s="5" t="s">
        <v>21</v>
      </c>
      <c r="B9" s="5" t="s">
        <v>22</v>
      </c>
      <c r="C9" s="10">
        <v>12.5</v>
      </c>
      <c r="D9" s="10">
        <v>3</v>
      </c>
      <c r="E9" s="5">
        <f t="shared" si="0"/>
        <v>37.5</v>
      </c>
      <c r="F9" t="s">
        <v>12</v>
      </c>
    </row>
    <row r="10" spans="1:6">
      <c r="A10" s="5" t="s">
        <v>23</v>
      </c>
      <c r="B10" s="5" t="s">
        <v>24</v>
      </c>
      <c r="C10" s="10">
        <v>20</v>
      </c>
      <c r="D10" s="10">
        <v>1</v>
      </c>
      <c r="E10" s="5">
        <f t="shared" si="0"/>
        <v>20</v>
      </c>
      <c r="F10" t="s">
        <v>12</v>
      </c>
    </row>
    <row r="11" spans="1:6">
      <c r="A11" s="5"/>
      <c r="B11" s="6" t="s">
        <v>25</v>
      </c>
      <c r="C11" s="6"/>
      <c r="D11" s="6"/>
      <c r="E11" s="12"/>
      <c r="F11" s="8"/>
    </row>
    <row r="12" spans="1:6">
      <c r="A12" s="5" t="s">
        <v>26</v>
      </c>
      <c r="B12" s="5" t="s">
        <v>27</v>
      </c>
      <c r="C12" s="10">
        <v>17.75</v>
      </c>
      <c r="D12" s="10">
        <v>3</v>
      </c>
      <c r="E12" s="5">
        <f>C12*D12</f>
        <v>53.25</v>
      </c>
      <c r="F12" t="s">
        <v>12</v>
      </c>
    </row>
    <row r="13" spans="1:6">
      <c r="A13" s="5" t="s">
        <v>28</v>
      </c>
      <c r="B13" s="5" t="s">
        <v>29</v>
      </c>
      <c r="C13" s="10">
        <v>17.75</v>
      </c>
      <c r="D13" s="10">
        <v>3</v>
      </c>
      <c r="E13" s="5">
        <f>C13*D13</f>
        <v>53.25</v>
      </c>
      <c r="F13" t="s">
        <v>12</v>
      </c>
    </row>
    <row r="14" spans="1:6">
      <c r="A14" s="5" t="s">
        <v>30</v>
      </c>
      <c r="B14" s="5" t="s">
        <v>31</v>
      </c>
      <c r="C14" s="10">
        <v>15</v>
      </c>
      <c r="D14" s="10">
        <v>4</v>
      </c>
      <c r="E14" s="5">
        <f>C14*D14</f>
        <v>60</v>
      </c>
      <c r="F14" t="s">
        <v>12</v>
      </c>
    </row>
    <row r="15" spans="1:6">
      <c r="A15" s="5"/>
      <c r="B15" s="6" t="s">
        <v>32</v>
      </c>
      <c r="C15" s="12"/>
      <c r="D15" s="12"/>
      <c r="E15" s="12"/>
      <c r="F15" s="8"/>
    </row>
    <row r="16" spans="1:6">
      <c r="A16" s="5" t="s">
        <v>33</v>
      </c>
      <c r="B16" s="5" t="s">
        <v>34</v>
      </c>
      <c r="C16" s="10">
        <v>11.5</v>
      </c>
      <c r="D16" s="10">
        <v>3</v>
      </c>
      <c r="E16" s="5">
        <f>C16*D16</f>
        <v>34.5</v>
      </c>
      <c r="F16" t="s">
        <v>12</v>
      </c>
    </row>
    <row r="17" spans="1:6">
      <c r="A17" s="5" t="s">
        <v>35</v>
      </c>
      <c r="B17" s="5" t="s">
        <v>36</v>
      </c>
      <c r="C17" s="10">
        <v>11.5</v>
      </c>
      <c r="D17" s="10">
        <v>3</v>
      </c>
      <c r="E17" s="5">
        <f>C17*D17</f>
        <v>34.5</v>
      </c>
      <c r="F17" t="s">
        <v>12</v>
      </c>
    </row>
    <row r="18" spans="1:6">
      <c r="A18" s="5"/>
      <c r="B18" s="13" t="s">
        <v>37</v>
      </c>
      <c r="C18" s="14"/>
      <c r="D18" s="14"/>
      <c r="E18" s="14"/>
      <c r="F18" s="8"/>
    </row>
    <row r="19" spans="1:6">
      <c r="A19" s="5" t="s">
        <v>38</v>
      </c>
      <c r="B19" s="5" t="s">
        <v>39</v>
      </c>
      <c r="C19" s="10"/>
      <c r="D19" s="10"/>
      <c r="E19" s="5">
        <f>C19*D19</f>
        <v>0</v>
      </c>
      <c r="F19" t="s">
        <v>12</v>
      </c>
    </row>
    <row r="20" spans="1:6">
      <c r="A20" s="5" t="s">
        <v>40</v>
      </c>
      <c r="B20" s="5" t="s">
        <v>41</v>
      </c>
      <c r="C20" s="10">
        <v>15</v>
      </c>
      <c r="D20" s="10">
        <v>3</v>
      </c>
      <c r="E20" s="5">
        <f>C20*D20</f>
        <v>45</v>
      </c>
      <c r="F20" t="s">
        <v>12</v>
      </c>
    </row>
    <row r="21" spans="1:6">
      <c r="A21" s="5" t="s">
        <v>42</v>
      </c>
      <c r="B21" s="5" t="s">
        <v>43</v>
      </c>
      <c r="C21" s="10">
        <v>20</v>
      </c>
      <c r="D21" s="10">
        <v>1</v>
      </c>
      <c r="E21" s="5">
        <f>C21*D21</f>
        <v>20</v>
      </c>
      <c r="F21" t="s">
        <v>12</v>
      </c>
    </row>
    <row r="22" spans="1:6">
      <c r="A22" s="15"/>
      <c r="B22" s="16" t="s">
        <v>44</v>
      </c>
      <c r="C22" s="17"/>
      <c r="D22" s="18">
        <f>SUM(D4:D21)</f>
        <v>40</v>
      </c>
      <c r="E22" s="19"/>
      <c r="F22" s="19"/>
    </row>
    <row r="23" spans="1:6">
      <c r="A23" s="15"/>
      <c r="B23" s="17" t="s">
        <v>45</v>
      </c>
      <c r="C23" s="15"/>
      <c r="D23" s="19"/>
      <c r="E23" s="17">
        <f>SUM(E4:E21)</f>
        <v>572</v>
      </c>
      <c r="F23" s="19"/>
    </row>
    <row r="24" spans="1:6">
      <c r="A24" s="19"/>
      <c r="B24" s="17" t="s">
        <v>46</v>
      </c>
      <c r="C24" s="19"/>
      <c r="D24" s="19"/>
      <c r="E24" s="20">
        <f>E23/D22</f>
        <v>14.3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DTS-010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Nivo Randriambololona</cp:lastModifiedBy>
  <dcterms:created xsi:type="dcterms:W3CDTF">2026-07-13T05:59:40Z</dcterms:created>
  <dcterms:modified xsi:type="dcterms:W3CDTF">2026-07-13T06:28:20Z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FF6B2B45FC1C4E1E884BAFBB97DC7CF4_11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